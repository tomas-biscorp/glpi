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uleidy.pico\Documents\Telemedicina\Web\AJ24\Requerimientos\"/>
    </mc:Choice>
  </mc:AlternateContent>
  <bookViews>
    <workbookView xWindow="0" yWindow="0" windowWidth="23040" windowHeight="9780"/>
  </bookViews>
  <sheets>
    <sheet name="RS_47" sheetId="1" r:id="rId1"/>
  </sheets>
  <definedNames>
    <definedName name="_xlnm._FilterDatabase" localSheetId="0" hidden="1">RS_47!$B$5:$K$21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" i="1" l="1"/>
  <c r="J8" i="1"/>
  <c r="J20" i="1"/>
  <c r="J17" i="1"/>
  <c r="G6" i="1"/>
  <c r="F7" i="1" l="1"/>
  <c r="G7" i="1" s="1"/>
  <c r="F8" i="1" s="1"/>
  <c r="G8" i="1" l="1"/>
  <c r="F9" i="1" s="1"/>
  <c r="G9" i="1" s="1"/>
  <c r="F10" i="1" s="1"/>
  <c r="G10" i="1" l="1"/>
  <c r="F11" i="1" s="1"/>
  <c r="G11" i="1" l="1"/>
  <c r="F12" i="1" s="1"/>
  <c r="J6" i="1"/>
  <c r="J21" i="1" l="1"/>
  <c r="J13" i="1"/>
  <c r="J10" i="1"/>
  <c r="J11" i="1"/>
  <c r="J12" i="1"/>
  <c r="J15" i="1"/>
  <c r="J16" i="1"/>
  <c r="J18" i="1"/>
  <c r="J19" i="1"/>
  <c r="J7" i="1"/>
  <c r="J9" i="1"/>
  <c r="G12" i="1" l="1"/>
  <c r="F13" i="1" s="1"/>
  <c r="G13" i="1" l="1"/>
  <c r="F14" i="1" s="1"/>
  <c r="G14" i="1" l="1"/>
</calcChain>
</file>

<file path=xl/sharedStrings.xml><?xml version="1.0" encoding="utf-8"?>
<sst xmlns="http://schemas.openxmlformats.org/spreadsheetml/2006/main" count="40" uniqueCount="30">
  <si>
    <t>Fase</t>
  </si>
  <si>
    <t>ID</t>
  </si>
  <si>
    <t>Actividades</t>
  </si>
  <si>
    <t>Fecha Plan Inicio</t>
  </si>
  <si>
    <t>Fecha Plan Fin</t>
  </si>
  <si>
    <t>Días Planificados</t>
  </si>
  <si>
    <t>Esfuerzo Plan
(Jornadas Planificadas)</t>
  </si>
  <si>
    <t>Obs.</t>
  </si>
  <si>
    <t>Planificación Detallada</t>
  </si>
  <si>
    <t>Diseño Detallado y Construcción</t>
  </si>
  <si>
    <t>Análisis de la Solución</t>
  </si>
  <si>
    <t>Ejecución de la Construcción</t>
  </si>
  <si>
    <t>Ejecución de Pruebas Unitarias</t>
  </si>
  <si>
    <t>Pruebas y Certificación</t>
  </si>
  <si>
    <t>Implantación y PostImplantacion</t>
  </si>
  <si>
    <t>Preparación Documentación y Agenda CDC</t>
  </si>
  <si>
    <t>Estimación del Desarrollo</t>
  </si>
  <si>
    <t>Estimación de las Pruebas</t>
  </si>
  <si>
    <t>Plataforma:</t>
  </si>
  <si>
    <t>Requerimiento</t>
  </si>
  <si>
    <t>Alojose24</t>
  </si>
  <si>
    <t>Recursos</t>
  </si>
  <si>
    <t>WEB</t>
  </si>
  <si>
    <t>Interfaz</t>
  </si>
  <si>
    <t>Ejecución de Pruebas Integrales</t>
  </si>
  <si>
    <t>Entrega de la Construcción en DES</t>
  </si>
  <si>
    <t>Entrega de la Construcción en QA</t>
  </si>
  <si>
    <t>Soporte Pruebas de Certificacion en QA</t>
  </si>
  <si>
    <t>Planificación de la Construcción</t>
  </si>
  <si>
    <t>RS_47-Agregar función al textarea de los campos enfermedad actual, detalle de diagnóstico y plan de trabajo del historial médico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</si>
</sst>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9"/>
      <name val="Roboto"/>
    </font>
    <font>
      <sz val="9"/>
      <name val="Roboto"/>
    </font>
    <font>
      <sz val="9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B5178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top"/>
    </xf>
  </cellStyleXfs>
  <cellXfs count="45">
    <xf numFmtId="0" fontId="0" fillId="0" borderId="0" xfId="0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14" fontId="6" fillId="0" borderId="2" xfId="0" applyNumberFormat="1" applyFont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2" xfId="0" applyFont="1" applyFill="1" applyBorder="1" applyAlignment="1">
      <alignment horizontal="center"/>
    </xf>
    <xf numFmtId="0" fontId="6" fillId="0" borderId="5" xfId="0" applyFont="1" applyBorder="1"/>
    <xf numFmtId="0" fontId="6" fillId="0" borderId="5" xfId="0" applyFont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0" fontId="6" fillId="0" borderId="10" xfId="0" applyFont="1" applyBorder="1"/>
    <xf numFmtId="0" fontId="6" fillId="0" borderId="10" xfId="0" applyFont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14" fontId="5" fillId="0" borderId="10" xfId="0" applyNumberFormat="1" applyFont="1" applyBorder="1" applyAlignment="1">
      <alignment horizontal="center"/>
    </xf>
    <xf numFmtId="14" fontId="6" fillId="0" borderId="10" xfId="0" applyNumberFormat="1" applyFont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14" fontId="5" fillId="0" borderId="12" xfId="0" applyNumberFormat="1" applyFont="1" applyBorder="1" applyAlignment="1">
      <alignment horizontal="center"/>
    </xf>
    <xf numFmtId="14" fontId="6" fillId="0" borderId="12" xfId="0" applyNumberFormat="1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 wrapText="1"/>
    </xf>
    <xf numFmtId="0" fontId="6" fillId="0" borderId="12" xfId="0" applyFont="1" applyBorder="1"/>
    <xf numFmtId="0" fontId="6" fillId="0" borderId="17" xfId="0" applyFont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/>
    </xf>
    <xf numFmtId="14" fontId="6" fillId="0" borderId="5" xfId="0" applyNumberFormat="1" applyFont="1" applyBorder="1" applyAlignment="1">
      <alignment horizontal="center"/>
    </xf>
    <xf numFmtId="0" fontId="4" fillId="3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_Release Nuevos 20063 v 2(este)" xfId="1"/>
  </cellStyles>
  <dxfs count="0"/>
  <tableStyles count="0" defaultTableStyle="TableStyleMedium2" defaultPivotStyle="PivotStyleLight16"/>
  <colors>
    <mruColors>
      <color rgb="FF2B5178"/>
      <color rgb="FF005F3B"/>
      <color rgb="FF02F499"/>
      <color rgb="FF01F4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1"/>
  <sheetViews>
    <sheetView showGridLines="0" tabSelected="1" workbookViewId="0">
      <selection activeCell="G26" sqref="G26"/>
    </sheetView>
  </sheetViews>
  <sheetFormatPr baseColWidth="10" defaultRowHeight="14.4" x14ac:dyDescent="0.3"/>
  <cols>
    <col min="2" max="2" width="18.5546875" customWidth="1"/>
    <col min="3" max="3" width="3.33203125" bestFit="1" customWidth="1"/>
    <col min="4" max="4" width="35.88671875" customWidth="1"/>
    <col min="5" max="5" width="8.33203125" customWidth="1"/>
    <col min="6" max="7" width="11.6640625" bestFit="1" customWidth="1"/>
    <col min="8" max="8" width="12.44140625" customWidth="1"/>
    <col min="9" max="9" width="10.33203125" customWidth="1"/>
    <col min="10" max="10" width="13.33203125" customWidth="1"/>
    <col min="11" max="11" width="35.33203125" customWidth="1"/>
  </cols>
  <sheetData>
    <row r="2" spans="2:12" x14ac:dyDescent="0.3">
      <c r="B2" s="1" t="s">
        <v>18</v>
      </c>
      <c r="C2" s="1"/>
      <c r="D2" s="35" t="s">
        <v>20</v>
      </c>
      <c r="E2" s="35"/>
      <c r="F2" s="35"/>
      <c r="G2" s="35"/>
      <c r="H2" s="35"/>
      <c r="I2" s="35"/>
      <c r="J2" s="35"/>
      <c r="K2" s="35"/>
      <c r="L2" s="2"/>
    </row>
    <row r="3" spans="2:12" x14ac:dyDescent="0.3">
      <c r="B3" s="1" t="s">
        <v>19</v>
      </c>
      <c r="C3" s="1"/>
      <c r="D3" s="35" t="s">
        <v>29</v>
      </c>
      <c r="E3" s="35"/>
      <c r="F3" s="35"/>
      <c r="G3" s="35"/>
      <c r="H3" s="35"/>
      <c r="I3" s="35"/>
      <c r="J3" s="35"/>
      <c r="K3" s="35"/>
      <c r="L3" s="2"/>
    </row>
    <row r="5" spans="2:12" ht="40.200000000000003" thickBot="1" x14ac:dyDescent="0.35">
      <c r="B5" s="44" t="s">
        <v>0</v>
      </c>
      <c r="C5" s="44" t="s">
        <v>1</v>
      </c>
      <c r="D5" s="44" t="s">
        <v>2</v>
      </c>
      <c r="E5" s="44" t="s">
        <v>23</v>
      </c>
      <c r="F5" s="44" t="s">
        <v>3</v>
      </c>
      <c r="G5" s="44" t="s">
        <v>4</v>
      </c>
      <c r="H5" s="44" t="s">
        <v>5</v>
      </c>
      <c r="I5" s="44" t="s">
        <v>21</v>
      </c>
      <c r="J5" s="44" t="s">
        <v>6</v>
      </c>
      <c r="K5" s="44" t="s">
        <v>7</v>
      </c>
    </row>
    <row r="6" spans="2:12" x14ac:dyDescent="0.3">
      <c r="B6" s="36" t="s">
        <v>8</v>
      </c>
      <c r="C6" s="41">
        <v>1</v>
      </c>
      <c r="D6" s="13" t="s">
        <v>16</v>
      </c>
      <c r="E6" s="14" t="s">
        <v>22</v>
      </c>
      <c r="F6" s="42">
        <v>44391</v>
      </c>
      <c r="G6" s="43">
        <f>WORKDAY(F6,H6,$T$12:$T$12)</f>
        <v>44391</v>
      </c>
      <c r="H6" s="14">
        <v>0.25</v>
      </c>
      <c r="I6" s="14">
        <v>1</v>
      </c>
      <c r="J6" s="16">
        <f t="shared" ref="J6:J21" si="0">H6*I6</f>
        <v>0.25</v>
      </c>
      <c r="K6" s="3"/>
    </row>
    <row r="7" spans="2:12" x14ac:dyDescent="0.3">
      <c r="B7" s="32"/>
      <c r="C7" s="5">
        <v>2</v>
      </c>
      <c r="D7" s="6" t="s">
        <v>17</v>
      </c>
      <c r="E7" s="7" t="s">
        <v>22</v>
      </c>
      <c r="F7" s="8">
        <f>WORKDAY(G6,$T$12:$T$12)</f>
        <v>44391</v>
      </c>
      <c r="G7" s="9">
        <f>WORKDAY(F7,H7,$T$12:$T$12)</f>
        <v>44391</v>
      </c>
      <c r="H7" s="7">
        <v>0.25</v>
      </c>
      <c r="I7" s="7">
        <v>1</v>
      </c>
      <c r="J7" s="17">
        <f t="shared" si="0"/>
        <v>0.25</v>
      </c>
      <c r="K7" s="3"/>
    </row>
    <row r="8" spans="2:12" ht="15" thickBot="1" x14ac:dyDescent="0.35">
      <c r="B8" s="34"/>
      <c r="C8" s="18">
        <v>3</v>
      </c>
      <c r="D8" s="19" t="s">
        <v>28</v>
      </c>
      <c r="E8" s="20" t="s">
        <v>22</v>
      </c>
      <c r="F8" s="23">
        <f>WORKDAY(G7,$T$12:$T$12)</f>
        <v>44391</v>
      </c>
      <c r="G8" s="24">
        <f>WORKDAY(F8,H8,$T$12:$T$12)</f>
        <v>44391</v>
      </c>
      <c r="H8" s="20">
        <v>0.25</v>
      </c>
      <c r="I8" s="21">
        <v>1</v>
      </c>
      <c r="J8" s="22">
        <f t="shared" ref="J8" si="1">H8*I8</f>
        <v>0.25</v>
      </c>
      <c r="K8" s="3"/>
    </row>
    <row r="9" spans="2:12" x14ac:dyDescent="0.3">
      <c r="B9" s="38" t="s">
        <v>9</v>
      </c>
      <c r="C9" s="29">
        <v>4</v>
      </c>
      <c r="D9" s="39" t="s">
        <v>10</v>
      </c>
      <c r="E9" s="37" t="s">
        <v>22</v>
      </c>
      <c r="F9" s="26">
        <f>WORKDAY(G8,$T$12:$T$12)</f>
        <v>44391</v>
      </c>
      <c r="G9" s="27">
        <f>WORKDAY(F9,H9,$T$12:$T$12)</f>
        <v>44391</v>
      </c>
      <c r="H9" s="37">
        <v>0.25</v>
      </c>
      <c r="I9" s="28">
        <v>1</v>
      </c>
      <c r="J9" s="40">
        <f t="shared" si="0"/>
        <v>0.25</v>
      </c>
      <c r="K9" s="4"/>
    </row>
    <row r="10" spans="2:12" x14ac:dyDescent="0.3">
      <c r="B10" s="32"/>
      <c r="C10" s="5">
        <v>5</v>
      </c>
      <c r="D10" s="11" t="s">
        <v>11</v>
      </c>
      <c r="E10" s="12" t="s">
        <v>22</v>
      </c>
      <c r="F10" s="8">
        <f t="shared" ref="F10:F14" si="2">WORKDAY(G9,$T$12:$T$12)</f>
        <v>44391</v>
      </c>
      <c r="G10" s="9">
        <f>WORKDAY(F10,H10,$T$12:$T$12)</f>
        <v>44391</v>
      </c>
      <c r="H10" s="10">
        <v>0.5</v>
      </c>
      <c r="I10" s="12">
        <v>1</v>
      </c>
      <c r="J10" s="25">
        <f t="shared" si="0"/>
        <v>0.5</v>
      </c>
      <c r="K10" s="4"/>
    </row>
    <row r="11" spans="2:12" x14ac:dyDescent="0.3">
      <c r="B11" s="32"/>
      <c r="C11" s="5">
        <v>6</v>
      </c>
      <c r="D11" s="6" t="s">
        <v>12</v>
      </c>
      <c r="E11" s="7" t="s">
        <v>22</v>
      </c>
      <c r="F11" s="8">
        <f>WORKDAY(G10,1,$T$12:$T$12)</f>
        <v>44392</v>
      </c>
      <c r="G11" s="9">
        <f>WORKDAY(F11,H11,$T$12:$T$12)</f>
        <v>44392</v>
      </c>
      <c r="H11" s="10">
        <v>0.25</v>
      </c>
      <c r="I11" s="10">
        <v>1</v>
      </c>
      <c r="J11" s="17">
        <f t="shared" si="0"/>
        <v>0.25</v>
      </c>
      <c r="K11" s="4"/>
    </row>
    <row r="12" spans="2:12" x14ac:dyDescent="0.3">
      <c r="B12" s="32"/>
      <c r="C12" s="5">
        <v>7</v>
      </c>
      <c r="D12" s="6" t="s">
        <v>25</v>
      </c>
      <c r="E12" s="7" t="s">
        <v>22</v>
      </c>
      <c r="F12" s="8">
        <f t="shared" si="2"/>
        <v>44392</v>
      </c>
      <c r="G12" s="9">
        <f>WORKDAY(F12,H12,$T$12:$T$12)</f>
        <v>44392</v>
      </c>
      <c r="H12" s="10">
        <v>0.25</v>
      </c>
      <c r="I12" s="10">
        <v>1</v>
      </c>
      <c r="J12" s="17">
        <f t="shared" si="0"/>
        <v>0.25</v>
      </c>
      <c r="K12" s="4"/>
    </row>
    <row r="13" spans="2:12" x14ac:dyDescent="0.3">
      <c r="B13" s="32"/>
      <c r="C13" s="5">
        <v>8</v>
      </c>
      <c r="D13" s="6" t="s">
        <v>24</v>
      </c>
      <c r="E13" s="7" t="s">
        <v>22</v>
      </c>
      <c r="F13" s="8">
        <f t="shared" si="2"/>
        <v>44392</v>
      </c>
      <c r="G13" s="9">
        <f>WORKDAY(F13,H13,$T$12:$T$12)</f>
        <v>44392</v>
      </c>
      <c r="H13" s="10">
        <v>0.25</v>
      </c>
      <c r="I13" s="10">
        <v>2</v>
      </c>
      <c r="J13" s="17">
        <f t="shared" ref="J13" si="3">H13*I13</f>
        <v>0.5</v>
      </c>
      <c r="K13" s="4"/>
    </row>
    <row r="14" spans="2:12" ht="15" thickBot="1" x14ac:dyDescent="0.35">
      <c r="B14" s="33"/>
      <c r="C14" s="18">
        <v>9</v>
      </c>
      <c r="D14" s="6" t="s">
        <v>26</v>
      </c>
      <c r="E14" s="20" t="s">
        <v>22</v>
      </c>
      <c r="F14" s="23">
        <f t="shared" si="2"/>
        <v>44392</v>
      </c>
      <c r="G14" s="24">
        <f>WORKDAY(F14,H14,$T$12:$T$12)</f>
        <v>44392</v>
      </c>
      <c r="H14" s="21">
        <v>0.25</v>
      </c>
      <c r="I14" s="10">
        <v>1</v>
      </c>
      <c r="J14" s="17">
        <f t="shared" ref="J14" si="4">H14*I14</f>
        <v>0.25</v>
      </c>
      <c r="K14" s="4"/>
    </row>
    <row r="15" spans="2:12" ht="14.4" customHeight="1" x14ac:dyDescent="0.3">
      <c r="B15" s="36" t="s">
        <v>13</v>
      </c>
      <c r="C15" s="29">
        <v>10</v>
      </c>
      <c r="D15" s="13"/>
      <c r="E15" s="37"/>
      <c r="F15" s="26"/>
      <c r="G15" s="27"/>
      <c r="H15" s="28"/>
      <c r="I15" s="15"/>
      <c r="J15" s="16">
        <f t="shared" si="0"/>
        <v>0</v>
      </c>
      <c r="K15" s="4"/>
    </row>
    <row r="16" spans="2:12" x14ac:dyDescent="0.3">
      <c r="B16" s="32"/>
      <c r="C16" s="5">
        <v>11</v>
      </c>
      <c r="D16" s="6"/>
      <c r="E16" s="7"/>
      <c r="F16" s="8"/>
      <c r="G16" s="9"/>
      <c r="H16" s="10"/>
      <c r="I16" s="10"/>
      <c r="J16" s="17">
        <f t="shared" si="0"/>
        <v>0</v>
      </c>
      <c r="K16" s="4"/>
    </row>
    <row r="17" spans="2:11" x14ac:dyDescent="0.3">
      <c r="B17" s="32"/>
      <c r="C17" s="5">
        <v>12</v>
      </c>
      <c r="D17" s="6" t="s">
        <v>27</v>
      </c>
      <c r="E17" s="7" t="s">
        <v>22</v>
      </c>
      <c r="F17" s="8"/>
      <c r="G17" s="9"/>
      <c r="H17" s="10">
        <v>0.5</v>
      </c>
      <c r="I17" s="10">
        <v>2</v>
      </c>
      <c r="J17" s="17">
        <f t="shared" si="0"/>
        <v>1</v>
      </c>
      <c r="K17" s="4"/>
    </row>
    <row r="18" spans="2:11" x14ac:dyDescent="0.3">
      <c r="B18" s="32"/>
      <c r="C18" s="5">
        <v>13</v>
      </c>
      <c r="D18" s="6"/>
      <c r="E18" s="7"/>
      <c r="F18" s="8"/>
      <c r="G18" s="9"/>
      <c r="H18" s="28"/>
      <c r="I18" s="10"/>
      <c r="J18" s="17">
        <f t="shared" si="0"/>
        <v>0</v>
      </c>
      <c r="K18" s="4"/>
    </row>
    <row r="19" spans="2:11" ht="15" thickBot="1" x14ac:dyDescent="0.35">
      <c r="B19" s="34"/>
      <c r="C19" s="18">
        <v>14</v>
      </c>
      <c r="D19" s="19"/>
      <c r="E19" s="20"/>
      <c r="F19" s="23"/>
      <c r="G19" s="24"/>
      <c r="H19" s="21"/>
      <c r="I19" s="21"/>
      <c r="J19" s="22">
        <f t="shared" si="0"/>
        <v>0</v>
      </c>
      <c r="K19" s="4"/>
    </row>
    <row r="20" spans="2:11" x14ac:dyDescent="0.3">
      <c r="B20" s="30" t="s">
        <v>14</v>
      </c>
      <c r="C20" s="29">
        <v>15</v>
      </c>
      <c r="D20" s="6" t="s">
        <v>15</v>
      </c>
      <c r="E20" s="7" t="s">
        <v>22</v>
      </c>
      <c r="F20" s="26"/>
      <c r="G20" s="27"/>
      <c r="H20" s="10">
        <v>0.5</v>
      </c>
      <c r="I20" s="10">
        <v>1</v>
      </c>
      <c r="J20" s="17">
        <f t="shared" ref="J20" si="5">H20*I20</f>
        <v>0.5</v>
      </c>
      <c r="K20" s="4"/>
    </row>
    <row r="21" spans="2:11" ht="15" thickBot="1" x14ac:dyDescent="0.35">
      <c r="B21" s="31"/>
      <c r="C21" s="18">
        <v>16</v>
      </c>
      <c r="D21" s="19"/>
      <c r="E21" s="20"/>
      <c r="F21" s="23"/>
      <c r="G21" s="24"/>
      <c r="H21" s="21"/>
      <c r="I21" s="21"/>
      <c r="J21" s="22">
        <f t="shared" si="0"/>
        <v>0</v>
      </c>
      <c r="K21" s="4"/>
    </row>
  </sheetData>
  <autoFilter ref="B5:K21"/>
  <mergeCells count="6">
    <mergeCell ref="B20:B21"/>
    <mergeCell ref="B6:B8"/>
    <mergeCell ref="B9:B14"/>
    <mergeCell ref="D2:K2"/>
    <mergeCell ref="D3:K3"/>
    <mergeCell ref="B15:B19"/>
  </mergeCells>
  <dataValidations count="1">
    <dataValidation type="list" allowBlank="1" showInputMessage="1" showErrorMessage="1" sqref="E6:E21">
      <formula1>"API, APP, WEB"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RS_47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Nandy A. Da Costa Benitez</dc:creator>
  <cp:lastModifiedBy>Yuleidy Margarita YP. Pico Chavez</cp:lastModifiedBy>
  <dcterms:created xsi:type="dcterms:W3CDTF">2021-04-26T10:05:19Z</dcterms:created>
  <dcterms:modified xsi:type="dcterms:W3CDTF">2021-07-15T01:05:24Z</dcterms:modified>
</cp:coreProperties>
</file>